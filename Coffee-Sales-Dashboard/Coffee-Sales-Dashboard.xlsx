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857029FB-5D69-4403-99BC-EED563EE1684}" xr6:coauthVersionLast="47" xr6:coauthVersionMax="47" xr10:uidLastSave="{00000000-0000-0000-0000-000000000000}"/>
  <bookViews>
    <workbookView showSheetTabs="0" xWindow="-110" yWindow="-110" windowWidth="19420" windowHeight="10300" firstSheet="2" activeTab="6" xr2:uid="{00000000-000D-0000-FFFF-FFFF00000000}"/>
  </bookViews>
  <sheets>
    <sheet name="Total Sales" sheetId="19" r:id="rId1"/>
    <sheet name="Country Bar Chart" sheetId="20" r:id="rId2"/>
    <sheet name="Top 5 Customers" sheetId="21" r:id="rId3"/>
    <sheet name="orders" sheetId="17" r:id="rId4"/>
    <sheet name="customers" sheetId="13" r:id="rId5"/>
    <sheet name="products" sheetId="2" r:id="rId6"/>
    <sheet name="Dashboard" sheetId="24" r:id="rId7"/>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72" i="17"/>
  <c r="O173" i="17"/>
  <c r="O342" i="17"/>
  <c r="O344" i="17"/>
  <c r="O438" i="17"/>
  <c r="O439" i="17"/>
  <c r="O502" i="17"/>
  <c r="O503" i="17"/>
  <c r="O566" i="17"/>
  <c r="O567" i="17"/>
  <c r="O615" i="17"/>
  <c r="O616" i="17"/>
  <c r="O648" i="17"/>
  <c r="O649" i="17"/>
  <c r="O680" i="17"/>
  <c r="O681" i="17"/>
  <c r="O712" i="17"/>
  <c r="O713" i="17"/>
  <c r="O744" i="17"/>
  <c r="O745" i="17"/>
  <c r="O776" i="17"/>
  <c r="O777" i="17"/>
  <c r="O808" i="17"/>
  <c r="O809" i="17"/>
  <c r="O840" i="17"/>
  <c r="O841" i="17"/>
  <c r="O872" i="17"/>
  <c r="O873" i="17"/>
  <c r="O904" i="17"/>
  <c r="O905" i="17"/>
  <c r="O936" i="17"/>
  <c r="O937" i="17"/>
  <c r="O968" i="17"/>
  <c r="O969" i="17"/>
  <c r="O1000" i="17"/>
  <c r="O1001" i="17"/>
  <c r="N117" i="17"/>
  <c r="N181" i="17"/>
  <c r="N245" i="17"/>
  <c r="N309" i="17"/>
  <c r="N373" i="17"/>
  <c r="N424" i="17"/>
  <c r="N461" i="17"/>
  <c r="N493" i="17"/>
  <c r="N525" i="17"/>
  <c r="N557" i="17"/>
  <c r="N589" i="17"/>
  <c r="N621" i="17"/>
  <c r="N653" i="17"/>
  <c r="N685" i="17"/>
  <c r="N717" i="17"/>
  <c r="N749" i="17"/>
  <c r="N781" i="17"/>
  <c r="M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K172" i="17"/>
  <c r="L172" i="17"/>
  <c r="M172" i="17" s="1"/>
  <c r="I173" i="17"/>
  <c r="N173" i="17" s="1"/>
  <c r="J173" i="17"/>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K342" i="17"/>
  <c r="L342" i="17"/>
  <c r="M342" i="17" s="1"/>
  <c r="I343" i="17"/>
  <c r="N343" i="17" s="1"/>
  <c r="J343" i="17"/>
  <c r="O343" i="17" s="1"/>
  <c r="K343" i="17"/>
  <c r="L343" i="17"/>
  <c r="M343" i="17" s="1"/>
  <c r="I344" i="17"/>
  <c r="N344" i="17" s="1"/>
  <c r="J344" i="17"/>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K438" i="17"/>
  <c r="L438" i="17"/>
  <c r="M438" i="17" s="1"/>
  <c r="I439" i="17"/>
  <c r="N439" i="17" s="1"/>
  <c r="J439" i="17"/>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K502" i="17"/>
  <c r="L502" i="17"/>
  <c r="M502" i="17" s="1"/>
  <c r="I503" i="17"/>
  <c r="N503" i="17" s="1"/>
  <c r="J503" i="17"/>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K566" i="17"/>
  <c r="L566" i="17"/>
  <c r="M566" i="17" s="1"/>
  <c r="I567" i="17"/>
  <c r="N567" i="17" s="1"/>
  <c r="J567" i="17"/>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K615" i="17"/>
  <c r="L615" i="17"/>
  <c r="M615" i="17" s="1"/>
  <c r="I616" i="17"/>
  <c r="N616" i="17" s="1"/>
  <c r="J616" i="17"/>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K648" i="17"/>
  <c r="L648" i="17"/>
  <c r="M648" i="17" s="1"/>
  <c r="I649" i="17"/>
  <c r="N649" i="17" s="1"/>
  <c r="J649" i="17"/>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K680" i="17"/>
  <c r="L680" i="17"/>
  <c r="M680" i="17" s="1"/>
  <c r="I681" i="17"/>
  <c r="N681" i="17" s="1"/>
  <c r="J681" i="17"/>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K712" i="17"/>
  <c r="L712" i="17"/>
  <c r="M712" i="17" s="1"/>
  <c r="I713" i="17"/>
  <c r="N713" i="17" s="1"/>
  <c r="J713" i="17"/>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K744" i="17"/>
  <c r="L744" i="17"/>
  <c r="M744" i="17" s="1"/>
  <c r="I745" i="17"/>
  <c r="N745" i="17" s="1"/>
  <c r="J745" i="17"/>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K776" i="17"/>
  <c r="L776" i="17"/>
  <c r="M776" i="17" s="1"/>
  <c r="I777" i="17"/>
  <c r="N777" i="17" s="1"/>
  <c r="J777" i="17"/>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K808" i="17"/>
  <c r="L808" i="17"/>
  <c r="M808" i="17" s="1"/>
  <c r="I809" i="17"/>
  <c r="N809" i="17" s="1"/>
  <c r="J809" i="17"/>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K840" i="17"/>
  <c r="L840" i="17"/>
  <c r="M840" i="17" s="1"/>
  <c r="I841" i="17"/>
  <c r="N841" i="17" s="1"/>
  <c r="J841" i="17"/>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K872" i="17"/>
  <c r="L872" i="17"/>
  <c r="M872" i="17" s="1"/>
  <c r="I873" i="17"/>
  <c r="N873" i="17" s="1"/>
  <c r="J873" i="17"/>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K904" i="17"/>
  <c r="L904" i="17"/>
  <c r="M904" i="17" s="1"/>
  <c r="I905" i="17"/>
  <c r="N905" i="17" s="1"/>
  <c r="J905" i="17"/>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K936" i="17"/>
  <c r="L936" i="17"/>
  <c r="M936" i="17" s="1"/>
  <c r="I937" i="17"/>
  <c r="N937" i="17" s="1"/>
  <c r="J937" i="17"/>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K968" i="17"/>
  <c r="L968" i="17"/>
  <c r="M968" i="17" s="1"/>
  <c r="I969" i="17"/>
  <c r="N969" i="17" s="1"/>
  <c r="J969" i="17"/>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K1000" i="17"/>
  <c r="L1000" i="17"/>
  <c r="M1000" i="17" s="1"/>
  <c r="I1001" i="17"/>
  <c r="N1001" i="17" s="1"/>
  <c r="J1001" i="17"/>
  <c r="K1001" i="17"/>
  <c r="L1001" i="17"/>
  <c r="M1001" i="17" s="1"/>
  <c r="J2" i="17"/>
  <c r="O2" i="17" s="1"/>
  <c r="K2" i="17"/>
  <c r="L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<sst xmlns="http://schemas.openxmlformats.org/spreadsheetml/2006/main" count="11128" uniqueCount="6221">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</sst>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8" formatCode="_([$$-409]* #,##0.00_);_([$$-409]* \(#,##0.00\);_([$$-409]* &quot;-&quot;??_);_(@_)"/>
    <numFmt numFmtId="170"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 fontId="0" fillId="0" borderId="0" xfId="0" applyNumberFormat="1"/>
    <xf numFmtId="170" fontId="0" fillId="0" borderId="0" xfId="0" applyNumberFormat="1"/>
  </cellXfs>
  <cellStyles count="1">
    <cellStyle name="Normal" xfId="0" builtinId="0"/>
  </cellStyles>
  <dxfs count="16">
    <dxf>
      <font>
        <b/>
        <i val="0"/>
        <sz val="11"/>
        <color theme="0"/>
        <name val="Calibri"/>
        <family val="2"/>
        <scheme val="minor"/>
      </font>
      <border>
        <left style="thin">
          <color theme="0"/>
        </left>
        <right style="thin">
          <color theme="0"/>
        </right>
        <top style="thin">
          <color theme="0"/>
        </top>
        <bottom style="thin">
          <color theme="0"/>
        </bottom>
      </border>
    </dxf>
    <dxf>
      <font>
        <b val="0"/>
        <i val="0"/>
        <sz val="11"/>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05DB2328-CC6B-4DA2-AE6F-6189F3D5ADFA}">
      <tableStyleElement type="wholeTable" dxfId="3"/>
      <tableStyleElement type="headerRow" dxfId="2"/>
    </tableStyle>
    <tableStyle name="Purple Timeline Style" pivot="0" table="0" count="8" xr9:uid="{51ED875F-A9B4-4B4D-947D-BF1D91466F9F}">
      <tableStyleElement type="wholeTable" dxfId="1"/>
      <tableStyleElement type="headerRow" dxfId="0"/>
    </tableStyle>
  </tableStyles>
  <colors>
    <mruColors>
      <color rgb="FF3C1464"/>
      <color rgb="FFA2122A"/>
      <color rgb="FFA21691"/>
      <color rgb="FF11FF7D"/>
      <color rgb="FF5A1E96"/>
      <color rgb="FFC5FFDF"/>
      <color rgb="FF00682F"/>
      <color rgb="FFBD5BAA"/>
      <color rgb="FF7126BC"/>
      <color rgb="FF5C1F99"/>
    </mruColors>
  </colors>
  <extLst>
    <ext xmlns:x14="http://schemas.microsoft.com/office/spreadsheetml/2009/9/main" uri="{46F421CA-312F-682f-3DD2-61675219B42D}">
      <x14:dxfs count="4">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36">
        <dxf>
          <fill>
            <patternFill patternType="solid">
              <fgColor theme="0" tint="-0.1498764000366222"/>
              <bgColor theme="0" tint="-4.9989318521683403E-2"/>
            </patternFill>
          </fill>
          <border>
            <left style="thin">
              <color theme="0"/>
            </left>
            <right style="thin">
              <color theme="0"/>
            </right>
            <top style="thin">
              <color theme="0"/>
            </top>
            <bottom style="thin">
              <color theme="0"/>
            </bottom>
          </border>
        </dxf>
        <dxf>
          <fill>
            <patternFill patternType="solid">
              <fgColor theme="0"/>
              <bgColor rgb="FFA2169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8764000366222"/>
              <bgColor theme="0" tint="-4.9989318521683403E-2"/>
            </patternFill>
          </fill>
          <border>
            <left style="thin">
              <color theme="0"/>
            </left>
            <right style="thin">
              <color theme="0"/>
            </right>
            <top style="thin">
              <color theme="0"/>
            </top>
            <bottom style="thin">
              <color theme="0"/>
            </bottom>
          </border>
        </dxf>
        <dxf>
          <fill>
            <patternFill patternType="solid">
              <fgColor theme="0"/>
              <bgColor rgb="FFA2169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8764000366222"/>
              <bgColor theme="0" tint="-4.9989318521683403E-2"/>
            </patternFill>
          </fill>
          <border>
            <left style="thin">
              <color theme="0"/>
            </left>
            <right style="thin">
              <color theme="0"/>
            </right>
            <top style="thin">
              <color theme="0"/>
            </top>
            <bottom style="thin">
              <color theme="0"/>
            </bottom>
          </border>
        </dxf>
        <dxf>
          <fill>
            <patternFill patternType="solid">
              <fgColor theme="0"/>
              <bgColor rgb="FFA2169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8764000366222"/>
              <bgColor theme="0" tint="-4.9989318521683403E-2"/>
            </patternFill>
          </fill>
          <border>
            <left style="thin">
              <color theme="0"/>
            </left>
            <right style="thin">
              <color theme="0"/>
            </right>
            <top style="thin">
              <color theme="0"/>
            </top>
            <bottom style="thin">
              <color theme="0"/>
            </bottom>
          </border>
        </dxf>
        <dxf>
          <fill>
            <patternFill patternType="solid">
              <fgColor theme="0"/>
              <bgColor rgb="FFA2169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8764000366222"/>
              <bgColor theme="0" tint="-4.9989318521683403E-2"/>
            </patternFill>
          </fill>
          <border>
            <left style="thin">
              <color theme="0"/>
            </left>
            <right style="thin">
              <color theme="0"/>
            </right>
            <top style="thin">
              <color theme="0"/>
            </top>
            <bottom style="thin">
              <color theme="0"/>
            </bottom>
          </border>
        </dxf>
        <dxf>
          <fill>
            <patternFill patternType="solid">
              <fgColor theme="0"/>
              <bgColor rgb="FFA2169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8764000366222"/>
              <bgColor theme="0" tint="-4.9989318521683403E-2"/>
            </patternFill>
          </fill>
          <border>
            <left style="thin">
              <color theme="0"/>
            </left>
            <right style="thin">
              <color theme="0"/>
            </right>
            <top style="thin">
              <color theme="0"/>
            </top>
            <bottom style="thin">
              <color theme="0"/>
            </bottom>
          </border>
        </dxf>
        <dxf>
          <fill>
            <patternFill patternType="solid">
              <fgColor theme="0"/>
              <bgColor rgb="FFA21691"/>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PROJECT (Coffee Sales Dashboard).xlsx]Total Sales!PivotTable2</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A94D0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A94D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A94D0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B0F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895-4A1D-9604-8A9430C2B2EB}"/>
            </c:ext>
          </c:extLst>
        </c:ser>
        <c:ser>
          <c:idx val="1"/>
          <c:order val="1"/>
          <c:tx>
            <c:strRef>
              <c:f>'Total Sales'!$D$3:$D$4</c:f>
              <c:strCache>
                <c:ptCount val="1"/>
                <c:pt idx="0">
                  <c:v>Excelsa</c:v>
                </c:pt>
              </c:strCache>
            </c:strRef>
          </c:tx>
          <c:spPr>
            <a:ln w="28575" cap="rnd">
              <a:solidFill>
                <a:srgbClr val="A94D0F"/>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895-4A1D-9604-8A9430C2B2EB}"/>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895-4A1D-9604-8A9430C2B2EB}"/>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895-4A1D-9604-8A9430C2B2EB}"/>
            </c:ext>
          </c:extLst>
        </c:ser>
        <c:dLbls>
          <c:showLegendKey val="0"/>
          <c:showVal val="0"/>
          <c:showCatName val="0"/>
          <c:showSerName val="0"/>
          <c:showPercent val="0"/>
          <c:showBubbleSize val="0"/>
        </c:dLbls>
        <c:smooth val="0"/>
        <c:axId val="154415824"/>
        <c:axId val="154423504"/>
      </c:lineChart>
      <c:catAx>
        <c:axId val="15441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4423504"/>
        <c:crosses val="autoZero"/>
        <c:auto val="1"/>
        <c:lblAlgn val="ctr"/>
        <c:lblOffset val="100"/>
        <c:noMultiLvlLbl val="0"/>
      </c:catAx>
      <c:valAx>
        <c:axId val="154423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441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8D9F7"/>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PROJECT (Coffee Sales Dashboard).xlsx]Country Bar Chart!PivotTable2</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pivotFmt>
      <c:pivotFmt>
        <c:idx val="2"/>
        <c:spPr>
          <a:solidFill>
            <a:srgbClr val="11FF7D"/>
          </a:solidFill>
          <a:ln w="25400">
            <a:solidFill>
              <a:schemeClr val="bg1"/>
            </a:solidFill>
          </a:ln>
          <a:effectLst/>
        </c:spPr>
      </c:pivotFmt>
      <c:pivotFmt>
        <c:idx val="3"/>
        <c:spPr>
          <a:solidFill>
            <a:srgbClr val="C5FFD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5FFDF"/>
          </a:solidFill>
          <a:ln w="25400">
            <a:solidFill>
              <a:schemeClr val="bg1"/>
            </a:solidFill>
          </a:ln>
          <a:effectLst/>
        </c:spPr>
      </c:pivotFmt>
      <c:pivotFmt>
        <c:idx val="6"/>
        <c:spPr>
          <a:solidFill>
            <a:srgbClr val="11FF7D"/>
          </a:solidFill>
          <a:ln w="25400">
            <a:solidFill>
              <a:schemeClr val="bg1"/>
            </a:solidFill>
          </a:ln>
          <a:effectLst/>
        </c:spPr>
      </c:pivotFmt>
      <c:pivotFmt>
        <c:idx val="7"/>
        <c:spPr>
          <a:solidFill>
            <a:srgbClr val="00682F"/>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5FFDF"/>
          </a:solidFill>
          <a:ln w="25400">
            <a:solidFill>
              <a:schemeClr val="bg1"/>
            </a:solidFill>
          </a:ln>
          <a:effectLst/>
        </c:spPr>
      </c:pivotFmt>
      <c:pivotFmt>
        <c:idx val="10"/>
        <c:spPr>
          <a:solidFill>
            <a:srgbClr val="11FF7D"/>
          </a:solidFill>
          <a:ln w="25400">
            <a:solidFill>
              <a:schemeClr val="bg1"/>
            </a:solidFill>
          </a:ln>
          <a:effectLst/>
        </c:spPr>
      </c:pivotFmt>
      <c:pivotFmt>
        <c:idx val="11"/>
        <c:spPr>
          <a:solidFill>
            <a:srgbClr val="00682F"/>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C5FFDF"/>
              </a:solidFill>
              <a:ln w="25400">
                <a:solidFill>
                  <a:schemeClr val="bg1"/>
                </a:solidFill>
              </a:ln>
              <a:effectLst/>
            </c:spPr>
            <c:extLst>
              <c:ext xmlns:c16="http://schemas.microsoft.com/office/drawing/2014/chart" uri="{C3380CC4-5D6E-409C-BE32-E72D297353CC}">
                <c16:uniqueId val="{00000001-0B4D-4E63-B281-3B81ED8DFDC5}"/>
              </c:ext>
            </c:extLst>
          </c:dPt>
          <c:dPt>
            <c:idx val="1"/>
            <c:invertIfNegative val="0"/>
            <c:bubble3D val="0"/>
            <c:spPr>
              <a:solidFill>
                <a:srgbClr val="11FF7D"/>
              </a:solidFill>
              <a:ln w="25400">
                <a:solidFill>
                  <a:schemeClr val="bg1"/>
                </a:solidFill>
              </a:ln>
              <a:effectLst/>
            </c:spPr>
            <c:extLst>
              <c:ext xmlns:c16="http://schemas.microsoft.com/office/drawing/2014/chart" uri="{C3380CC4-5D6E-409C-BE32-E72D297353CC}">
                <c16:uniqueId val="{00000003-0B4D-4E63-B281-3B81ED8DFDC5}"/>
              </c:ext>
            </c:extLst>
          </c:dPt>
          <c:dPt>
            <c:idx val="2"/>
            <c:invertIfNegative val="0"/>
            <c:bubble3D val="0"/>
            <c:spPr>
              <a:solidFill>
                <a:srgbClr val="00682F"/>
              </a:solidFill>
              <a:ln w="25400">
                <a:solidFill>
                  <a:schemeClr val="bg1"/>
                </a:solidFill>
              </a:ln>
              <a:effectLst/>
            </c:spPr>
            <c:extLst>
              <c:ext xmlns:c16="http://schemas.microsoft.com/office/drawing/2014/chart" uri="{C3380CC4-5D6E-409C-BE32-E72D297353CC}">
                <c16:uniqueId val="{00000005-0B4D-4E63-B281-3B81ED8DFDC5}"/>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0B4D-4E63-B281-3B81ED8DFDC5}"/>
            </c:ext>
          </c:extLst>
        </c:ser>
        <c:dLbls>
          <c:dLblPos val="outEnd"/>
          <c:showLegendKey val="0"/>
          <c:showVal val="1"/>
          <c:showCatName val="0"/>
          <c:showSerName val="0"/>
          <c:showPercent val="0"/>
          <c:showBubbleSize val="0"/>
        </c:dLbls>
        <c:gapWidth val="182"/>
        <c:axId val="206665152"/>
        <c:axId val="206667552"/>
      </c:barChart>
      <c:catAx>
        <c:axId val="20666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667552"/>
        <c:crosses val="autoZero"/>
        <c:auto val="1"/>
        <c:lblAlgn val="ctr"/>
        <c:lblOffset val="100"/>
        <c:noMultiLvlLbl val="0"/>
      </c:catAx>
      <c:valAx>
        <c:axId val="206667552"/>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66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8D9F7"/>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PROJECT (Coffee Sales Dashboard).xlsx]Top 5 Customers!PivotTable2</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682F"/>
          </a:solidFill>
          <a:ln w="25400">
            <a:solidFill>
              <a:schemeClr val="bg1"/>
            </a:solidFill>
          </a:ln>
          <a:effectLst/>
        </c:spPr>
      </c:pivotFmt>
      <c:pivotFmt>
        <c:idx val="2"/>
        <c:spPr>
          <a:solidFill>
            <a:srgbClr val="11FF7D"/>
          </a:solidFill>
          <a:ln w="25400">
            <a:solidFill>
              <a:schemeClr val="bg1"/>
            </a:solidFill>
          </a:ln>
          <a:effectLst/>
        </c:spPr>
      </c:pivotFmt>
      <c:pivotFmt>
        <c:idx val="3"/>
        <c:spPr>
          <a:solidFill>
            <a:srgbClr val="C5FFDF"/>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5FFDF"/>
          </a:solidFill>
          <a:ln w="25400">
            <a:solidFill>
              <a:schemeClr val="bg1"/>
            </a:solidFill>
          </a:ln>
          <a:effectLst/>
        </c:spPr>
      </c:pivotFmt>
      <c:pivotFmt>
        <c:idx val="6"/>
        <c:spPr>
          <a:solidFill>
            <a:srgbClr val="11FF7D"/>
          </a:solidFill>
          <a:ln w="25400">
            <a:solidFill>
              <a:schemeClr val="bg1"/>
            </a:solidFill>
          </a:ln>
          <a:effectLst/>
        </c:spPr>
      </c:pivotFmt>
      <c:pivotFmt>
        <c:idx val="7"/>
        <c:spPr>
          <a:solidFill>
            <a:srgbClr val="00682F"/>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C14B-4D72-8403-FCAC0CC14EAC}"/>
              </c:ext>
            </c:extLst>
          </c:dPt>
          <c:dPt>
            <c:idx val="1"/>
            <c:invertIfNegative val="0"/>
            <c:bubble3D val="0"/>
            <c:extLst>
              <c:ext xmlns:c16="http://schemas.microsoft.com/office/drawing/2014/chart" uri="{C3380CC4-5D6E-409C-BE32-E72D297353CC}">
                <c16:uniqueId val="{00000001-C14B-4D72-8403-FCAC0CC14EAC}"/>
              </c:ext>
            </c:extLst>
          </c:dPt>
          <c:dPt>
            <c:idx val="2"/>
            <c:invertIfNegative val="0"/>
            <c:bubble3D val="0"/>
            <c:extLst>
              <c:ext xmlns:c16="http://schemas.microsoft.com/office/drawing/2014/chart" uri="{C3380CC4-5D6E-409C-BE32-E72D297353CC}">
                <c16:uniqueId val="{00000002-C14B-4D72-8403-FCAC0CC14EAC}"/>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C14B-4D72-8403-FCAC0CC14EAC}"/>
            </c:ext>
          </c:extLst>
        </c:ser>
        <c:dLbls>
          <c:dLblPos val="outEnd"/>
          <c:showLegendKey val="0"/>
          <c:showVal val="1"/>
          <c:showCatName val="0"/>
          <c:showSerName val="0"/>
          <c:showPercent val="0"/>
          <c:showBubbleSize val="0"/>
        </c:dLbls>
        <c:gapWidth val="182"/>
        <c:axId val="206665152"/>
        <c:axId val="206667552"/>
      </c:barChart>
      <c:catAx>
        <c:axId val="20666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667552"/>
        <c:crosses val="autoZero"/>
        <c:auto val="1"/>
        <c:lblAlgn val="ctr"/>
        <c:lblOffset val="100"/>
        <c:noMultiLvlLbl val="0"/>
      </c:catAx>
      <c:valAx>
        <c:axId val="206667552"/>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66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8D9F7"/>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6350</xdr:colOff>
      <xdr:row>4</xdr:row>
      <xdr:rowOff>38100</xdr:rowOff>
    </xdr:to>
    <xdr:sp macro="" textlink="">
      <xdr:nvSpPr>
        <xdr:cNvPr id="2" name="Rectangle 1">
          <a:extLst>
            <a:ext uri="{FF2B5EF4-FFF2-40B4-BE49-F238E27FC236}">
              <a16:creationId xmlns:a16="http://schemas.microsoft.com/office/drawing/2014/main" id="{2E0AEC24-5326-2409-0810-3976DDE74723}"/>
            </a:ext>
          </a:extLst>
        </xdr:cNvPr>
        <xdr:cNvSpPr/>
      </xdr:nvSpPr>
      <xdr:spPr>
        <a:xfrm>
          <a:off x="114300" y="63500"/>
          <a:ext cx="10979150" cy="59055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rPr>
            <a:t>COFFEE SALES DASHBOARD</a:t>
          </a:r>
        </a:p>
      </xdr:txBody>
    </xdr:sp>
    <xdr:clientData/>
  </xdr:twoCellAnchor>
  <xdr:twoCellAnchor>
    <xdr:from>
      <xdr:col>1</xdr:col>
      <xdr:colOff>0</xdr:colOff>
      <xdr:row>13</xdr:row>
      <xdr:rowOff>31750</xdr:rowOff>
    </xdr:from>
    <xdr:to>
      <xdr:col>11</xdr:col>
      <xdr:colOff>107950</xdr:colOff>
      <xdr:row>30</xdr:row>
      <xdr:rowOff>76200</xdr:rowOff>
    </xdr:to>
    <xdr:graphicFrame macro="">
      <xdr:nvGraphicFramePr>
        <xdr:cNvPr id="3" name="Chart 2">
          <a:extLst>
            <a:ext uri="{FF2B5EF4-FFF2-40B4-BE49-F238E27FC236}">
              <a16:creationId xmlns:a16="http://schemas.microsoft.com/office/drawing/2014/main" id="{34AD5DA3-3A2D-4EE2-A551-2C89253C1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xdr:row>
      <xdr:rowOff>101600</xdr:rowOff>
    </xdr:from>
    <xdr:to>
      <xdr:col>12</xdr:col>
      <xdr:colOff>603250</xdr:colOff>
      <xdr:row>12</xdr:row>
      <xdr:rowOff>127000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2BFFAAE4-C667-48A3-9680-EFA662E04C4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4300" y="717550"/>
              <a:ext cx="7308850" cy="1498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57150</xdr:colOff>
      <xdr:row>8</xdr:row>
      <xdr:rowOff>12700</xdr:rowOff>
    </xdr:from>
    <xdr:to>
      <xdr:col>15</xdr:col>
      <xdr:colOff>584200</xdr:colOff>
      <xdr:row>12</xdr:row>
      <xdr:rowOff>133350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C4EFC305-9C8B-4C46-89FC-F3BA2658166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7486650" y="1365250"/>
              <a:ext cx="174625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69850</xdr:colOff>
      <xdr:row>4</xdr:row>
      <xdr:rowOff>95250</xdr:rowOff>
    </xdr:from>
    <xdr:to>
      <xdr:col>19</xdr:col>
      <xdr:colOff>6350</xdr:colOff>
      <xdr:row>7</xdr:row>
      <xdr:rowOff>146050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46677F42-96CA-4895-AAD0-AF8FE96CBBE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499350" y="711200"/>
              <a:ext cx="3594100" cy="60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12700</xdr:colOff>
      <xdr:row>8</xdr:row>
      <xdr:rowOff>12700</xdr:rowOff>
    </xdr:from>
    <xdr:to>
      <xdr:col>19</xdr:col>
      <xdr:colOff>0</xdr:colOff>
      <xdr:row>12</xdr:row>
      <xdr:rowOff>127000</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889E3199-0D57-4BD8-A44D-987FD5CB733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9271000" y="1365250"/>
              <a:ext cx="1816100"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190500</xdr:colOff>
      <xdr:row>13</xdr:row>
      <xdr:rowOff>38100</xdr:rowOff>
    </xdr:from>
    <xdr:to>
      <xdr:col>19</xdr:col>
      <xdr:colOff>6350</xdr:colOff>
      <xdr:row>20</xdr:row>
      <xdr:rowOff>177800</xdr:rowOff>
    </xdr:to>
    <xdr:graphicFrame macro="">
      <xdr:nvGraphicFramePr>
        <xdr:cNvPr id="8" name="Chart 7">
          <a:extLst>
            <a:ext uri="{FF2B5EF4-FFF2-40B4-BE49-F238E27FC236}">
              <a16:creationId xmlns:a16="http://schemas.microsoft.com/office/drawing/2014/main" id="{C23E31EC-976D-4EB6-B1EF-42D4DC869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190500</xdr:colOff>
      <xdr:row>21</xdr:row>
      <xdr:rowOff>88900</xdr:rowOff>
    </xdr:from>
    <xdr:to>
      <xdr:col>18</xdr:col>
      <xdr:colOff>571500</xdr:colOff>
      <xdr:row>30</xdr:row>
      <xdr:rowOff>69850</xdr:rowOff>
    </xdr:to>
    <xdr:graphicFrame macro="">
      <xdr:nvGraphicFramePr>
        <xdr:cNvPr id="9" name="Chart 8">
          <a:extLst>
            <a:ext uri="{FF2B5EF4-FFF2-40B4-BE49-F238E27FC236}">
              <a16:creationId xmlns:a16="http://schemas.microsoft.com/office/drawing/2014/main" id="{CE3FA34F-D819-4230-B39B-BFA11A31A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5.545185532406" createdVersion="8" refreshedVersion="8" minRefreshableVersion="3" recordCount="1000" xr:uid="{3C254F14-3D4B-4DE9-A6E2-723F3166E969}">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069697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A7F11-4DC8-4C4D-BEE6-4B1EB230BCF5}" name="PivotTable2"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4">
    <chartFormat chart="6" format="9" series="1">
      <pivotArea type="data" outline="0" fieldPosition="0">
        <references count="2">
          <reference field="4294967294"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2"/>
          </reference>
        </references>
      </pivotArea>
    </chartFormat>
    <chartFormat chart="6"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87371E-DBD1-42CB-8440-88DCCB5C082A}" name="PivotTable2"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2" numFmtId="170"/>
  </dataFields>
  <chartFormats count="4">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199B34-401C-441F-AE71-6D7A973690C8}" name="PivotTable2"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2" numFmtId="170"/>
  </dataFields>
  <chartFormats count="5">
    <chartFormat chart="4" format="9"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1C0848F-DA68-4063-BAFD-ECF33FB94AEC}" sourceName="Size">
  <pivotTables>
    <pivotTable tabId="19" name="PivotTable2"/>
    <pivotTable tabId="20" name="PivotTable2"/>
    <pivotTable tabId="21" name="PivotTable2"/>
  </pivotTables>
  <data>
    <tabular pivotCacheId="106969799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6461994-6C04-46CA-BA14-542CC70A94A7}" sourceName="Roast Type Name">
  <pivotTables>
    <pivotTable tabId="19" name="PivotTable2"/>
    <pivotTable tabId="20" name="PivotTable2"/>
    <pivotTable tabId="21" name="PivotTable2"/>
  </pivotTables>
  <data>
    <tabular pivotCacheId="106969799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AA1D8F0-199D-4E76-92B7-5AD8D9D51A8F}" sourceName="Loyalty Card">
  <pivotTables>
    <pivotTable tabId="19" name="PivotTable2"/>
    <pivotTable tabId="20" name="PivotTable2"/>
    <pivotTable tabId="21" name="PivotTable2"/>
  </pivotTables>
  <data>
    <tabular pivotCacheId="106969799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B452D41-983E-44D4-9BDB-5A38CE46B92F}" cache="Slicer_Size" caption="Size" columnCount="2" rowHeight="241300"/>
  <slicer name="Roast Type Name" xr10:uid="{6677A606-E7DB-42FF-9018-32E5648D10DE}" cache="Slicer_Roast_Type_Name" caption="Roast Type Name" columnCount="3" rowHeight="241300"/>
  <slicer name="Loyalty Card" xr10:uid="{EC9A3FE5-31C3-4689-B963-45D9CAA35CD0}"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C82A17-2AE7-4C64-BC68-0927B600AFF3}" name="Orders" displayName="Orders" ref="A1:P1001" totalsRowShown="0" headerRowDxfId="5">
  <autoFilter ref="A1:P1001" xr:uid="{B3C82A17-2AE7-4C64-BC68-0927B600AFF3}"/>
  <tableColumns count="16">
    <tableColumn id="1" xr3:uid="{B691A238-9C01-4B44-810E-D81273B72416}" name="Order ID" dataDxfId="15"/>
    <tableColumn id="2" xr3:uid="{3A2577C7-C9EB-4747-AF0E-04CDFAA3F421}" name="Order Date" dataDxfId="14"/>
    <tableColumn id="3" xr3:uid="{84012FE2-9AB0-41E6-A80D-522329068175}" name="Customer ID" dataDxfId="13"/>
    <tableColumn id="4" xr3:uid="{22479F5F-09B1-47BB-BFF2-14A22184EA72}" name="Product ID"/>
    <tableColumn id="5" xr3:uid="{12190F3E-075C-49CB-9911-422A83D23F52}" name="Quantity" dataDxfId="12"/>
    <tableColumn id="6" xr3:uid="{4820EF15-AD4E-4D40-A88A-E006A4CA58D4}" name="Customer Name" dataDxfId="11">
      <calculatedColumnFormula>_xlfn.XLOOKUP(C2,customers!$A$1:$A$1001,customers!$B$1:$B$1001,,0)</calculatedColumnFormula>
    </tableColumn>
    <tableColumn id="7" xr3:uid="{DBAA1046-C161-4EB3-A734-1AABC4514E8D}" name="Email" dataDxfId="10">
      <calculatedColumnFormula>IF(_xlfn.XLOOKUP(C2,customers!$A$1:$A$1001,customers!$C$1:$C$1001,,0)=0,"",_xlfn.XLOOKUP(C2,customers!$A$1:$A$1001,customers!$C$1:$C$1001,,0))</calculatedColumnFormula>
    </tableColumn>
    <tableColumn id="8" xr3:uid="{61E727B0-1518-4D35-854C-F23181FBFB72}" name="Country" dataDxfId="9">
      <calculatedColumnFormula>_xlfn.XLOOKUP(C2,customers!$A$1:$A$1001,customers!$G$1:$G$1001,,0)</calculatedColumnFormula>
    </tableColumn>
    <tableColumn id="9" xr3:uid="{5B9FD6DB-C9A3-4856-B2B4-F1EF63441B5A}" name="Coffee Type">
      <calculatedColumnFormula>INDEX(products!$A$1:$G$49,MATCH(orders!$D2,products!$A$1:$A$49,0),MATCH(orders!I$1,products!$A$1:$G$1,0))</calculatedColumnFormula>
    </tableColumn>
    <tableColumn id="10" xr3:uid="{21D94AC4-6EA3-4E22-9C19-04A44947F5EE}" name="Roast Type">
      <calculatedColumnFormula>INDEX(products!$A$1:$G$49,MATCH(orders!$D2,products!$A$1:$A$49,0),MATCH(orders!J$1,products!$A$1:$G$1,0))</calculatedColumnFormula>
    </tableColumn>
    <tableColumn id="11" xr3:uid="{699D4EFB-AC5B-489B-B0E2-E65CDE3D161A}" name="Size" dataDxfId="8">
      <calculatedColumnFormula>INDEX(products!$A$1:$G$49,MATCH(orders!$D2,products!$A$1:$A$49,0),MATCH(orders!K$1,products!$A$1:$G$1,0))</calculatedColumnFormula>
    </tableColumn>
    <tableColumn id="12" xr3:uid="{DEBD5B0C-3830-4A57-839A-A1C9167C6136}" name="Unit Price" dataDxfId="7">
      <calculatedColumnFormula>INDEX(products!$A$1:$G$49,MATCH(orders!$D2,products!$A$1:$A$49,0),MATCH(orders!L$1,products!$A$1:$G$1,0))</calculatedColumnFormula>
    </tableColumn>
    <tableColumn id="13" xr3:uid="{05D7650B-3DE6-4F4C-BA18-B9069E3324BA}" name="Sales" dataDxfId="6">
      <calculatedColumnFormula>L2*E2</calculatedColumnFormula>
    </tableColumn>
    <tableColumn id="14" xr3:uid="{201A325A-5A9F-4A02-B906-5191FA20B1AF}" name="Coffee Type Name">
      <calculatedColumnFormula>IF(I2="Rob","Robusta",IF(I2="Exc","Excelsa",IF(I2="Ara","Arabica",IF(I2="Lib","Liberica",""))))</calculatedColumnFormula>
    </tableColumn>
    <tableColumn id="15" xr3:uid="{78938343-0BFA-4098-A8AC-BB60D4DE4BA4}" name="Roast Type Name">
      <calculatedColumnFormula>IF(J2="M","Medium",IF(J2="L","Light",IF(J2="D","Dark","")))</calculatedColumnFormula>
    </tableColumn>
    <tableColumn id="16" xr3:uid="{C2924B2B-5EB3-4C1E-81EB-6F705B441477}" name="Loyalty Card" dataDxfId="4">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07C5829-EF51-4BFF-AB82-7629687C6D23}" sourceName="Order Date">
  <pivotTables>
    <pivotTable tabId="19" name="PivotTable2"/>
    <pivotTable tabId="20" name="PivotTable2"/>
    <pivotTable tabId="21" name="PivotTable2"/>
  </pivotTables>
  <state minimalRefreshVersion="6" lastRefreshVersion="6" pivotCacheId="106969799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6FB5081-C464-4DC9-90C5-2BAAB75247E7}"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B0F78-1396-49DA-855A-453D36E37A0A}">
  <dimension ref="A3:F48"/>
  <sheetViews>
    <sheetView topLeftCell="D1" workbookViewId="0">
      <selection activeCell="S11" sqref="S11"/>
    </sheetView>
  </sheetViews>
  <sheetFormatPr defaultRowHeight="14.5" x14ac:dyDescent="0.35"/>
  <cols>
    <col min="1" max="1" width="12.36328125" bestFit="1" customWidth="1"/>
    <col min="2" max="2" width="20.90625" bestFit="1" customWidth="1"/>
    <col min="3" max="3" width="18.453125" bestFit="1" customWidth="1"/>
    <col min="4" max="4" width="6.81640625" bestFit="1" customWidth="1"/>
    <col min="5" max="5" width="7.1796875" bestFit="1" customWidth="1"/>
    <col min="6" max="6" width="7.7265625" bestFit="1" customWidth="1"/>
  </cols>
  <sheetData>
    <row r="3" spans="1:6" x14ac:dyDescent="0.35">
      <c r="A3" s="6" t="s">
        <v>6220</v>
      </c>
      <c r="C3" s="6" t="s">
        <v>6197</v>
      </c>
    </row>
    <row r="4" spans="1:6" x14ac:dyDescent="0.35">
      <c r="A4" s="6" t="s">
        <v>6214</v>
      </c>
      <c r="B4" s="6" t="s">
        <v>6215</v>
      </c>
      <c r="C4" t="s">
        <v>6216</v>
      </c>
      <c r="D4" t="s">
        <v>6217</v>
      </c>
      <c r="E4" t="s">
        <v>6218</v>
      </c>
      <c r="F4" t="s">
        <v>6219</v>
      </c>
    </row>
    <row r="5" spans="1:6" x14ac:dyDescent="0.35">
      <c r="A5" t="s">
        <v>6198</v>
      </c>
      <c r="B5" t="s">
        <v>6202</v>
      </c>
      <c r="C5" s="7">
        <v>186.85499999999999</v>
      </c>
      <c r="D5" s="7">
        <v>305.97000000000003</v>
      </c>
      <c r="E5" s="7">
        <v>213.15999999999997</v>
      </c>
      <c r="F5" s="7">
        <v>123</v>
      </c>
    </row>
    <row r="6" spans="1:6" x14ac:dyDescent="0.35">
      <c r="B6" t="s">
        <v>6203</v>
      </c>
      <c r="C6" s="7">
        <v>251.96499999999997</v>
      </c>
      <c r="D6" s="7">
        <v>129.46</v>
      </c>
      <c r="E6" s="7">
        <v>434.03999999999996</v>
      </c>
      <c r="F6" s="7">
        <v>171.93999999999997</v>
      </c>
    </row>
    <row r="7" spans="1:6" x14ac:dyDescent="0.35">
      <c r="B7" t="s">
        <v>6204</v>
      </c>
      <c r="C7" s="7">
        <v>224.94499999999999</v>
      </c>
      <c r="D7" s="7">
        <v>349.12</v>
      </c>
      <c r="E7" s="7">
        <v>321.04000000000002</v>
      </c>
      <c r="F7" s="7">
        <v>126.035</v>
      </c>
    </row>
    <row r="8" spans="1:6" x14ac:dyDescent="0.35">
      <c r="B8" t="s">
        <v>6205</v>
      </c>
      <c r="C8" s="7">
        <v>307.12</v>
      </c>
      <c r="D8" s="7">
        <v>681.07499999999993</v>
      </c>
      <c r="E8" s="7">
        <v>533.70499999999993</v>
      </c>
      <c r="F8" s="7">
        <v>158.85</v>
      </c>
    </row>
    <row r="9" spans="1:6" x14ac:dyDescent="0.35">
      <c r="B9" t="s">
        <v>6206</v>
      </c>
      <c r="C9" s="7">
        <v>53.664999999999992</v>
      </c>
      <c r="D9" s="7">
        <v>83.025000000000006</v>
      </c>
      <c r="E9" s="7">
        <v>193.83499999999998</v>
      </c>
      <c r="F9" s="7">
        <v>68.039999999999992</v>
      </c>
    </row>
    <row r="10" spans="1:6" x14ac:dyDescent="0.35">
      <c r="B10" t="s">
        <v>6207</v>
      </c>
      <c r="C10" s="7">
        <v>163.01999999999998</v>
      </c>
      <c r="D10" s="7">
        <v>678.3599999999999</v>
      </c>
      <c r="E10" s="7">
        <v>171.04500000000002</v>
      </c>
      <c r="F10" s="7">
        <v>372.255</v>
      </c>
    </row>
    <row r="11" spans="1:6" x14ac:dyDescent="0.35">
      <c r="B11" t="s">
        <v>6208</v>
      </c>
      <c r="C11" s="7">
        <v>345.02</v>
      </c>
      <c r="D11" s="7">
        <v>273.86999999999995</v>
      </c>
      <c r="E11" s="7">
        <v>184.12999999999997</v>
      </c>
      <c r="F11" s="7">
        <v>201.11499999999998</v>
      </c>
    </row>
    <row r="12" spans="1:6" x14ac:dyDescent="0.35">
      <c r="B12" t="s">
        <v>6209</v>
      </c>
      <c r="C12" s="7">
        <v>334.89</v>
      </c>
      <c r="D12" s="7">
        <v>70.95</v>
      </c>
      <c r="E12" s="7">
        <v>134.23000000000002</v>
      </c>
      <c r="F12" s="7">
        <v>166.27499999999998</v>
      </c>
    </row>
    <row r="13" spans="1:6" x14ac:dyDescent="0.35">
      <c r="B13" t="s">
        <v>6210</v>
      </c>
      <c r="C13" s="7">
        <v>178.70999999999998</v>
      </c>
      <c r="D13" s="7">
        <v>166.1</v>
      </c>
      <c r="E13" s="7">
        <v>439.30999999999995</v>
      </c>
      <c r="F13" s="7">
        <v>492.9</v>
      </c>
    </row>
    <row r="14" spans="1:6" x14ac:dyDescent="0.35">
      <c r="B14" t="s">
        <v>6211</v>
      </c>
      <c r="C14" s="7">
        <v>301.98500000000001</v>
      </c>
      <c r="D14" s="7">
        <v>153.76499999999999</v>
      </c>
      <c r="E14" s="7">
        <v>215.55499999999998</v>
      </c>
      <c r="F14" s="7">
        <v>213.66499999999999</v>
      </c>
    </row>
    <row r="15" spans="1:6" x14ac:dyDescent="0.35">
      <c r="B15" t="s">
        <v>6212</v>
      </c>
      <c r="C15" s="7">
        <v>312.83499999999998</v>
      </c>
      <c r="D15" s="7">
        <v>63.249999999999993</v>
      </c>
      <c r="E15" s="7">
        <v>350.89500000000004</v>
      </c>
      <c r="F15" s="7">
        <v>96.405000000000001</v>
      </c>
    </row>
    <row r="16" spans="1:6" x14ac:dyDescent="0.35">
      <c r="B16" t="s">
        <v>6213</v>
      </c>
      <c r="C16" s="7">
        <v>265.62</v>
      </c>
      <c r="D16" s="7">
        <v>526.51499999999987</v>
      </c>
      <c r="E16" s="7">
        <v>187.06</v>
      </c>
      <c r="F16" s="7">
        <v>210.58999999999997</v>
      </c>
    </row>
    <row r="17" spans="1:6" x14ac:dyDescent="0.35">
      <c r="A17" t="s">
        <v>6199</v>
      </c>
      <c r="B17" t="s">
        <v>6202</v>
      </c>
      <c r="C17" s="7">
        <v>47.25</v>
      </c>
      <c r="D17" s="7">
        <v>65.805000000000007</v>
      </c>
      <c r="E17" s="7">
        <v>274.67500000000001</v>
      </c>
      <c r="F17" s="7">
        <v>179.22</v>
      </c>
    </row>
    <row r="18" spans="1:6" x14ac:dyDescent="0.35">
      <c r="B18" t="s">
        <v>6203</v>
      </c>
      <c r="C18" s="7">
        <v>745.44999999999993</v>
      </c>
      <c r="D18" s="7">
        <v>428.88499999999999</v>
      </c>
      <c r="E18" s="7">
        <v>194.17499999999998</v>
      </c>
      <c r="F18" s="7">
        <v>429.82999999999993</v>
      </c>
    </row>
    <row r="19" spans="1:6" x14ac:dyDescent="0.35">
      <c r="B19" t="s">
        <v>6204</v>
      </c>
      <c r="C19" s="7">
        <v>130.47</v>
      </c>
      <c r="D19" s="7">
        <v>271.48500000000001</v>
      </c>
      <c r="E19" s="7">
        <v>281.20499999999998</v>
      </c>
      <c r="F19" s="7">
        <v>231.63000000000002</v>
      </c>
    </row>
    <row r="20" spans="1:6" x14ac:dyDescent="0.35">
      <c r="B20" t="s">
        <v>6205</v>
      </c>
      <c r="C20" s="7">
        <v>27</v>
      </c>
      <c r="D20" s="7">
        <v>347.26</v>
      </c>
      <c r="E20" s="7">
        <v>147.51</v>
      </c>
      <c r="F20" s="7">
        <v>240.04</v>
      </c>
    </row>
    <row r="21" spans="1:6" x14ac:dyDescent="0.35">
      <c r="B21" t="s">
        <v>6206</v>
      </c>
      <c r="C21" s="7">
        <v>255.11499999999995</v>
      </c>
      <c r="D21" s="7">
        <v>541.73</v>
      </c>
      <c r="E21" s="7">
        <v>83.43</v>
      </c>
      <c r="F21" s="7">
        <v>59.079999999999991</v>
      </c>
    </row>
    <row r="22" spans="1:6" x14ac:dyDescent="0.35">
      <c r="B22" t="s">
        <v>6207</v>
      </c>
      <c r="C22" s="7">
        <v>584.78999999999985</v>
      </c>
      <c r="D22" s="7">
        <v>357.42999999999995</v>
      </c>
      <c r="E22" s="7">
        <v>355.34</v>
      </c>
      <c r="F22" s="7">
        <v>140.88</v>
      </c>
    </row>
    <row r="23" spans="1:6" x14ac:dyDescent="0.35">
      <c r="B23" t="s">
        <v>6208</v>
      </c>
      <c r="C23" s="7">
        <v>430.62</v>
      </c>
      <c r="D23" s="7">
        <v>227.42500000000001</v>
      </c>
      <c r="E23" s="7">
        <v>236.315</v>
      </c>
      <c r="F23" s="7">
        <v>414.58499999999992</v>
      </c>
    </row>
    <row r="24" spans="1:6" x14ac:dyDescent="0.35">
      <c r="B24" t="s">
        <v>6209</v>
      </c>
      <c r="C24" s="7">
        <v>22.5</v>
      </c>
      <c r="D24" s="7">
        <v>77.72</v>
      </c>
      <c r="E24" s="7">
        <v>60.5</v>
      </c>
      <c r="F24" s="7">
        <v>139.67999999999998</v>
      </c>
    </row>
    <row r="25" spans="1:6" x14ac:dyDescent="0.35">
      <c r="B25" t="s">
        <v>6210</v>
      </c>
      <c r="C25" s="7">
        <v>126.14999999999999</v>
      </c>
      <c r="D25" s="7">
        <v>195.11</v>
      </c>
      <c r="E25" s="7">
        <v>89.13</v>
      </c>
      <c r="F25" s="7">
        <v>302.65999999999997</v>
      </c>
    </row>
    <row r="26" spans="1:6" x14ac:dyDescent="0.35">
      <c r="B26" t="s">
        <v>6211</v>
      </c>
      <c r="C26" s="7">
        <v>376.03</v>
      </c>
      <c r="D26" s="7">
        <v>523.24</v>
      </c>
      <c r="E26" s="7">
        <v>440.96499999999997</v>
      </c>
      <c r="F26" s="7">
        <v>174.46999999999997</v>
      </c>
    </row>
    <row r="27" spans="1:6" x14ac:dyDescent="0.35">
      <c r="B27" t="s">
        <v>6212</v>
      </c>
      <c r="C27" s="7">
        <v>515.17999999999995</v>
      </c>
      <c r="D27" s="7">
        <v>142.56</v>
      </c>
      <c r="E27" s="7">
        <v>347.03999999999996</v>
      </c>
      <c r="F27" s="7">
        <v>104.08499999999999</v>
      </c>
    </row>
    <row r="28" spans="1:6" x14ac:dyDescent="0.35">
      <c r="B28" t="s">
        <v>6213</v>
      </c>
      <c r="C28" s="7">
        <v>95.859999999999985</v>
      </c>
      <c r="D28" s="7">
        <v>484.76</v>
      </c>
      <c r="E28" s="7">
        <v>94.17</v>
      </c>
      <c r="F28" s="7">
        <v>77.10499999999999</v>
      </c>
    </row>
    <row r="29" spans="1:6" x14ac:dyDescent="0.35">
      <c r="A29" t="s">
        <v>6200</v>
      </c>
      <c r="B29" t="s">
        <v>6202</v>
      </c>
      <c r="C29" s="7">
        <v>258.34500000000003</v>
      </c>
      <c r="D29" s="7">
        <v>139.625</v>
      </c>
      <c r="E29" s="7">
        <v>279.52000000000004</v>
      </c>
      <c r="F29" s="7">
        <v>160.19499999999999</v>
      </c>
    </row>
    <row r="30" spans="1:6" x14ac:dyDescent="0.35">
      <c r="B30" t="s">
        <v>6203</v>
      </c>
      <c r="C30" s="7">
        <v>342.2</v>
      </c>
      <c r="D30" s="7">
        <v>284.24999999999994</v>
      </c>
      <c r="E30" s="7">
        <v>251.83</v>
      </c>
      <c r="F30" s="7">
        <v>80.550000000000011</v>
      </c>
    </row>
    <row r="31" spans="1:6" x14ac:dyDescent="0.35">
      <c r="B31" t="s">
        <v>6204</v>
      </c>
      <c r="C31" s="7">
        <v>418.30499999999989</v>
      </c>
      <c r="D31" s="7">
        <v>468.125</v>
      </c>
      <c r="E31" s="7">
        <v>405.05500000000006</v>
      </c>
      <c r="F31" s="7">
        <v>253.15499999999997</v>
      </c>
    </row>
    <row r="32" spans="1:6" x14ac:dyDescent="0.35">
      <c r="B32" t="s">
        <v>6205</v>
      </c>
      <c r="C32" s="7">
        <v>102.32999999999998</v>
      </c>
      <c r="D32" s="7">
        <v>242.14000000000001</v>
      </c>
      <c r="E32" s="7">
        <v>554.875</v>
      </c>
      <c r="F32" s="7">
        <v>106.23999999999998</v>
      </c>
    </row>
    <row r="33" spans="1:6" x14ac:dyDescent="0.35">
      <c r="B33" t="s">
        <v>6206</v>
      </c>
      <c r="C33" s="7">
        <v>234.71999999999997</v>
      </c>
      <c r="D33" s="7">
        <v>133.08000000000001</v>
      </c>
      <c r="E33" s="7">
        <v>267.2</v>
      </c>
      <c r="F33" s="7">
        <v>272.68999999999994</v>
      </c>
    </row>
    <row r="34" spans="1:6" x14ac:dyDescent="0.35">
      <c r="B34" t="s">
        <v>6207</v>
      </c>
      <c r="C34" s="7">
        <v>430.39</v>
      </c>
      <c r="D34" s="7">
        <v>136.20500000000001</v>
      </c>
      <c r="E34" s="7">
        <v>209.6</v>
      </c>
      <c r="F34" s="7">
        <v>88.334999999999994</v>
      </c>
    </row>
    <row r="35" spans="1:6" x14ac:dyDescent="0.35">
      <c r="B35" t="s">
        <v>6208</v>
      </c>
      <c r="C35" s="7">
        <v>109.005</v>
      </c>
      <c r="D35" s="7">
        <v>393.57499999999999</v>
      </c>
      <c r="E35" s="7">
        <v>61.034999999999997</v>
      </c>
      <c r="F35" s="7">
        <v>199.48999999999998</v>
      </c>
    </row>
    <row r="36" spans="1:6" x14ac:dyDescent="0.35">
      <c r="B36" t="s">
        <v>6209</v>
      </c>
      <c r="C36" s="7">
        <v>287.52499999999998</v>
      </c>
      <c r="D36" s="7">
        <v>288.67</v>
      </c>
      <c r="E36" s="7">
        <v>125.58</v>
      </c>
      <c r="F36" s="7">
        <v>374.13499999999999</v>
      </c>
    </row>
    <row r="37" spans="1:6" x14ac:dyDescent="0.35">
      <c r="B37" t="s">
        <v>6210</v>
      </c>
      <c r="C37" s="7">
        <v>840.92999999999984</v>
      </c>
      <c r="D37" s="7">
        <v>409.875</v>
      </c>
      <c r="E37" s="7">
        <v>171.32999999999998</v>
      </c>
      <c r="F37" s="7">
        <v>221.43999999999997</v>
      </c>
    </row>
    <row r="38" spans="1:6" x14ac:dyDescent="0.35">
      <c r="B38" t="s">
        <v>6211</v>
      </c>
      <c r="C38" s="7">
        <v>299.07</v>
      </c>
      <c r="D38" s="7">
        <v>260.32499999999999</v>
      </c>
      <c r="E38" s="7">
        <v>584.64</v>
      </c>
      <c r="F38" s="7">
        <v>256.36500000000001</v>
      </c>
    </row>
    <row r="39" spans="1:6" x14ac:dyDescent="0.35">
      <c r="B39" t="s">
        <v>6212</v>
      </c>
      <c r="C39" s="7">
        <v>323.32499999999999</v>
      </c>
      <c r="D39" s="7">
        <v>565.57000000000005</v>
      </c>
      <c r="E39" s="7">
        <v>537.80999999999995</v>
      </c>
      <c r="F39" s="7">
        <v>189.47499999999999</v>
      </c>
    </row>
    <row r="40" spans="1:6" x14ac:dyDescent="0.35">
      <c r="B40" t="s">
        <v>6213</v>
      </c>
      <c r="C40" s="7">
        <v>399.48499999999996</v>
      </c>
      <c r="D40" s="7">
        <v>148.19999999999999</v>
      </c>
      <c r="E40" s="7">
        <v>388.21999999999997</v>
      </c>
      <c r="F40" s="7">
        <v>212.07499999999999</v>
      </c>
    </row>
    <row r="41" spans="1:6" x14ac:dyDescent="0.35">
      <c r="A41" t="s">
        <v>6201</v>
      </c>
      <c r="B41" t="s">
        <v>6202</v>
      </c>
      <c r="C41" s="7">
        <v>112.69499999999999</v>
      </c>
      <c r="D41" s="7">
        <v>166.32</v>
      </c>
      <c r="E41" s="7">
        <v>843.71499999999992</v>
      </c>
      <c r="F41" s="7">
        <v>146.685</v>
      </c>
    </row>
    <row r="42" spans="1:6" x14ac:dyDescent="0.35">
      <c r="B42" t="s">
        <v>6203</v>
      </c>
      <c r="C42" s="7">
        <v>114.87999999999998</v>
      </c>
      <c r="D42" s="7">
        <v>133.815</v>
      </c>
      <c r="E42" s="7">
        <v>91.175000000000011</v>
      </c>
      <c r="F42" s="7">
        <v>53.759999999999991</v>
      </c>
    </row>
    <row r="43" spans="1:6" x14ac:dyDescent="0.35">
      <c r="B43" t="s">
        <v>6204</v>
      </c>
      <c r="C43" s="7">
        <v>277.76</v>
      </c>
      <c r="D43" s="7">
        <v>175.41</v>
      </c>
      <c r="E43" s="7">
        <v>462.50999999999993</v>
      </c>
      <c r="F43" s="7">
        <v>399.52499999999998</v>
      </c>
    </row>
    <row r="44" spans="1:6" x14ac:dyDescent="0.35">
      <c r="B44" t="s">
        <v>6205</v>
      </c>
      <c r="C44" s="7">
        <v>197.89499999999998</v>
      </c>
      <c r="D44" s="7">
        <v>289.755</v>
      </c>
      <c r="E44" s="7">
        <v>88.545000000000002</v>
      </c>
      <c r="F44" s="7">
        <v>200.25499999999997</v>
      </c>
    </row>
    <row r="45" spans="1:6" x14ac:dyDescent="0.35">
      <c r="B45" t="s">
        <v>6206</v>
      </c>
      <c r="C45" s="7">
        <v>193.11499999999998</v>
      </c>
      <c r="D45" s="7">
        <v>212.49499999999998</v>
      </c>
      <c r="E45" s="7">
        <v>292.29000000000002</v>
      </c>
      <c r="F45" s="7">
        <v>304.46999999999997</v>
      </c>
    </row>
    <row r="46" spans="1:6" x14ac:dyDescent="0.35">
      <c r="B46" t="s">
        <v>6207</v>
      </c>
      <c r="C46" s="7">
        <v>179.79</v>
      </c>
      <c r="D46" s="7">
        <v>426.2</v>
      </c>
      <c r="E46" s="7">
        <v>170.08999999999997</v>
      </c>
      <c r="F46" s="7">
        <v>379.31</v>
      </c>
    </row>
    <row r="47" spans="1:6" x14ac:dyDescent="0.35">
      <c r="B47" t="s">
        <v>6208</v>
      </c>
      <c r="C47" s="7">
        <v>247.28999999999996</v>
      </c>
      <c r="D47" s="7">
        <v>246.685</v>
      </c>
      <c r="E47" s="7">
        <v>271.05499999999995</v>
      </c>
      <c r="F47" s="7">
        <v>141.69999999999999</v>
      </c>
    </row>
    <row r="48" spans="1:6" x14ac:dyDescent="0.35">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B2D25-EE22-4010-83D5-F5779EC3EF7E}">
  <dimension ref="A3:B6"/>
  <sheetViews>
    <sheetView topLeftCell="A3" workbookViewId="0">
      <selection activeCell="B6" sqref="B6"/>
    </sheetView>
  </sheetViews>
  <sheetFormatPr defaultRowHeight="14.5" x14ac:dyDescent="0.35"/>
  <cols>
    <col min="1" max="1" width="14.1796875" bestFit="1" customWidth="1"/>
    <col min="2" max="2" width="11.26953125" bestFit="1" customWidth="1"/>
    <col min="3" max="3" width="6.81640625" bestFit="1" customWidth="1"/>
    <col min="4" max="4" width="7.1796875" bestFit="1" customWidth="1"/>
    <col min="5" max="6" width="7.7265625" bestFit="1" customWidth="1"/>
  </cols>
  <sheetData>
    <row r="3" spans="1:2" x14ac:dyDescent="0.35">
      <c r="A3" s="6" t="s">
        <v>7</v>
      </c>
      <c r="B3" t="s">
        <v>6220</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90716-DBB3-4A49-992B-28ED4D92F118}">
  <dimension ref="A3:B8"/>
  <sheetViews>
    <sheetView topLeftCell="A3" workbookViewId="0">
      <selection activeCell="A3" sqref="A3"/>
    </sheetView>
  </sheetViews>
  <sheetFormatPr defaultRowHeight="14.5" x14ac:dyDescent="0.35"/>
  <cols>
    <col min="1" max="1" width="16.7265625" bestFit="1" customWidth="1"/>
    <col min="2" max="2" width="11.26953125" bestFit="1" customWidth="1"/>
    <col min="3" max="3" width="6.81640625" bestFit="1" customWidth="1"/>
    <col min="4" max="4" width="7.1796875" bestFit="1" customWidth="1"/>
    <col min="5" max="6" width="7.7265625" bestFit="1" customWidth="1"/>
  </cols>
  <sheetData>
    <row r="3" spans="1:2" x14ac:dyDescent="0.35">
      <c r="A3" s="6" t="s">
        <v>4</v>
      </c>
      <c r="B3" t="s">
        <v>6220</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G991" sqref="G991"/>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22.1796875" bestFit="1" customWidth="1"/>
    <col min="7" max="7" width="36.1796875" bestFit="1" customWidth="1"/>
    <col min="8" max="8" width="11.81640625" bestFit="1" customWidth="1"/>
    <col min="9" max="9" width="12.26953125" customWidth="1"/>
    <col min="10" max="10" width="11.453125" customWidth="1"/>
    <col min="11" max="11" width="5.7265625" bestFit="1" customWidth="1"/>
    <col min="12" max="12" width="10.453125" customWidth="1"/>
    <col min="13" max="13" width="8.81640625" bestFit="1" customWidth="1"/>
    <col min="14" max="14" width="17.54296875" customWidth="1"/>
    <col min="15" max="15" width="16.726562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6197</v>
      </c>
      <c r="O1" s="2" t="s">
        <v>6196</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F992"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CB39-D6F3-4C6F-AFC6-2A864C4FB9A7}">
  <dimension ref="A1"/>
  <sheetViews>
    <sheetView showGridLines="0" showRowColHeaders="0" tabSelected="1" workbookViewId="0">
      <selection activeCell="T6" sqref="T6"/>
    </sheetView>
  </sheetViews>
  <sheetFormatPr defaultRowHeight="14.5" x14ac:dyDescent="0.35"/>
  <cols>
    <col min="1" max="1" width="1.6328125" customWidth="1"/>
  </cols>
  <sheetData>
    <row r="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 5 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2022-11-26T09:51:45Z</dcterms:created>
  <dcterms:modified xsi:type="dcterms:W3CDTF">2026-08-01T18:35:02Z</dcterms:modified>
  <cp:category/>
  <cp:contentStatus/>
</cp:coreProperties>
</file>